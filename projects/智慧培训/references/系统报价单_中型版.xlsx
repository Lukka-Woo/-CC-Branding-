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0" activeTab="1"/>
  </bookViews>
  <sheets>
    <sheet name="公有云方案总览" sheetId="2" r:id="rId1"/>
    <sheet name="私有部署方案总览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<sst xmlns="http://schemas.openxmlformats.org/spreadsheetml/2006/main" count="155" uniqueCount="79">
  <si>
    <t>产品报价单汇总（方案一：公有云）</t>
  </si>
  <si>
    <t>报价方：上海未来方舟智能科技有限公司</t>
  </si>
  <si>
    <r>
      <t>报价日期：</t>
    </r>
    <r>
      <rPr>
        <sz val="9"/>
        <color rgb="FF1F4E79"/>
        <rFont val="Arial"/>
        <charset val="134"/>
      </rPr>
      <t>2026</t>
    </r>
    <r>
      <rPr>
        <sz val="9"/>
        <color rgb="FF1F4E79"/>
        <rFont val="宋体-简"/>
        <charset val="134"/>
      </rPr>
      <t>年</t>
    </r>
    <r>
      <rPr>
        <sz val="9"/>
        <color rgb="FF1F4E79"/>
        <rFont val="Arial"/>
        <charset val="134"/>
      </rPr>
      <t>5</t>
    </r>
    <r>
      <rPr>
        <sz val="9"/>
        <color rgb="FF1F4E79"/>
        <rFont val="宋体-简"/>
        <charset val="134"/>
      </rPr>
      <t>月</t>
    </r>
    <r>
      <rPr>
        <sz val="9"/>
        <color rgb="FF1F4E79"/>
        <rFont val="Arial"/>
        <charset val="134"/>
      </rPr>
      <t>28</t>
    </r>
    <r>
      <rPr>
        <sz val="9"/>
        <color rgb="FF1F4E79"/>
        <rFont val="宋体-简"/>
        <charset val="134"/>
      </rPr>
      <t>日</t>
    </r>
    <r>
      <rPr>
        <sz val="9"/>
        <color rgb="FF1F4E79"/>
        <rFont val="Arial"/>
        <charset val="134"/>
      </rPr>
      <t xml:space="preserve">    </t>
    </r>
    <r>
      <rPr>
        <sz val="9"/>
        <color rgb="FF1F4E79"/>
        <rFont val="宋体-简"/>
        <charset val="134"/>
      </rPr>
      <t>有效期：</t>
    </r>
    <r>
      <rPr>
        <sz val="9"/>
        <color rgb="FF1F4E79"/>
        <rFont val="Arial"/>
        <charset val="134"/>
      </rPr>
      <t>30</t>
    </r>
    <r>
      <rPr>
        <sz val="9"/>
        <color rgb="FF1F4E79"/>
        <rFont val="宋体-简"/>
        <charset val="134"/>
      </rPr>
      <t>天</t>
    </r>
  </si>
  <si>
    <t>客户名称：</t>
  </si>
  <si>
    <r>
      <t>适用档位：中型版（员工规模</t>
    </r>
    <r>
      <rPr>
        <sz val="9"/>
        <color rgb="FF1F4E79"/>
        <rFont val="Arial"/>
        <charset val="134"/>
      </rPr>
      <t xml:space="preserve"> 301–800 </t>
    </r>
    <r>
      <rPr>
        <sz val="9"/>
        <color rgb="FF1F4E79"/>
        <rFont val="宋体-简"/>
        <charset val="134"/>
      </rPr>
      <t>人）</t>
    </r>
  </si>
  <si>
    <t/>
  </si>
  <si>
    <t>序号</t>
  </si>
  <si>
    <t>产品名称</t>
  </si>
  <si>
    <t>规格描述</t>
  </si>
  <si>
    <t>说明</t>
  </si>
  <si>
    <t>数量</t>
  </si>
  <si>
    <t>单位</t>
  </si>
  <si>
    <t>账号配置</t>
  </si>
  <si>
    <t>年度订阅服务（中型版）</t>
  </si>
  <si>
    <t>套/年</t>
  </si>
  <si>
    <t>核心操作账户（含30个）</t>
  </si>
  <si>
    <t>个/年</t>
  </si>
  <si>
    <t>无限上报员账户（不限人数）</t>
  </si>
  <si>
    <t>含</t>
  </si>
  <si>
    <t>不限</t>
  </si>
  <si>
    <t>AI算力点数池</t>
  </si>
  <si>
    <t>年度积分池（含于套餐）</t>
  </si>
  <si>
    <r>
      <t>12,000</t>
    </r>
    <r>
      <rPr>
        <sz val="9"/>
        <color rgb="FF888888"/>
        <rFont val="宋体-简"/>
        <charset val="134"/>
      </rPr>
      <t>点</t>
    </r>
    <r>
      <rPr>
        <sz val="9"/>
        <color rgb="FF888888"/>
        <rFont val="Arial"/>
        <charset val="134"/>
      </rPr>
      <t>/</t>
    </r>
    <r>
      <rPr>
        <sz val="9"/>
        <color rgb="FF888888"/>
        <rFont val="宋体-简"/>
        <charset val="134"/>
      </rPr>
      <t>年</t>
    </r>
  </si>
  <si>
    <t>月度参考配额</t>
  </si>
  <si>
    <r>
      <t>约</t>
    </r>
    <r>
      <rPr>
        <sz val="9"/>
        <color rgb="FF888888"/>
        <rFont val="Arial"/>
        <charset val="134"/>
      </rPr>
      <t>1,000</t>
    </r>
    <r>
      <rPr>
        <sz val="9"/>
        <color rgb="FF888888"/>
        <rFont val="宋体-简"/>
        <charset val="134"/>
      </rPr>
      <t>点</t>
    </r>
    <r>
      <rPr>
        <sz val="9"/>
        <color rgb="FF888888"/>
        <rFont val="Arial"/>
        <charset val="134"/>
      </rPr>
      <t>/</t>
    </r>
    <r>
      <rPr>
        <sz val="9"/>
        <color rgb="FF888888"/>
        <rFont val="宋体-简"/>
        <charset val="134"/>
      </rPr>
      <t>月</t>
    </r>
  </si>
  <si>
    <t>—</t>
  </si>
  <si>
    <t>模块名称</t>
  </si>
  <si>
    <t>软件小计（元）</t>
  </si>
  <si>
    <t>部署小计（元）</t>
  </si>
  <si>
    <t>系统总价（元）</t>
  </si>
  <si>
    <t>税率</t>
  </si>
  <si>
    <t>税额（元）</t>
  </si>
  <si>
    <t>含税合计（元）</t>
  </si>
  <si>
    <t>风险分级管控和隐患排查治理</t>
  </si>
  <si>
    <t>作业许可管理</t>
  </si>
  <si>
    <t>相关方（承包商）管理</t>
  </si>
  <si>
    <t>危险化学品管理</t>
  </si>
  <si>
    <t>职业健康管理</t>
  </si>
  <si>
    <t>教育培训管理</t>
  </si>
  <si>
    <t>AI视频风险识别 (按100路)</t>
  </si>
  <si>
    <t>应急管理</t>
  </si>
  <si>
    <t>事故事件管理</t>
  </si>
  <si>
    <t>高级数据分析</t>
  </si>
  <si>
    <t>智能文档管理</t>
  </si>
  <si>
    <t>EHS法规助手</t>
  </si>
  <si>
    <t xml:space="preserve">  合计（全模块）</t>
  </si>
  <si>
    <t>增购AI点数加油包（通用，按需选购，有效期3个月）</t>
  </si>
  <si>
    <t>套餐名称</t>
  </si>
  <si>
    <t>包含Credits（点）</t>
  </si>
  <si>
    <t>有效期</t>
  </si>
  <si>
    <t>套餐价格（元）</t>
  </si>
  <si>
    <t>折算单价</t>
  </si>
  <si>
    <t>入门包</t>
  </si>
  <si>
    <t>5,000 Credits</t>
  </si>
  <si>
    <t>3个月</t>
  </si>
  <si>
    <t>套</t>
  </si>
  <si>
    <t>¥0.20/点</t>
  </si>
  <si>
    <t>标准包</t>
  </si>
  <si>
    <t>20,000 Credits</t>
  </si>
  <si>
    <t>¥0.15/点</t>
  </si>
  <si>
    <t>专业包</t>
  </si>
  <si>
    <t>100,000 Credits</t>
  </si>
  <si>
    <t>¥0.10/点</t>
  </si>
  <si>
    <t>套餐组合折扣</t>
  </si>
  <si>
    <t xml:space="preserve">  同时购买 2 个模块：总价 9.5 折</t>
  </si>
  <si>
    <t xml:space="preserve">  同时购买 3 个模块：总价 9.0 折</t>
  </si>
  <si>
    <t xml:space="preserve">  同时购买 4 个及以上模块：总价 8.5 折 + 赠送所有已购AI模块基础年度点数 10%</t>
  </si>
  <si>
    <t>📌 免费试用7天 | 如需申请请联系我司商务团队</t>
  </si>
  <si>
    <t>产品报价单汇总（方案二：私有部署）</t>
  </si>
  <si>
    <t>适用档位：中型版（员工规模 301–800 人）</t>
  </si>
  <si>
    <t>永久软件许可证（中型版）</t>
  </si>
  <si>
    <t>核心账户（已含30个）</t>
  </si>
  <si>
    <t>个</t>
  </si>
  <si>
    <t>年度维护服务费</t>
  </si>
  <si>
    <t>软件许可证费用 20%（首年）</t>
  </si>
  <si>
    <t>年</t>
  </si>
  <si>
    <t>授权费（元）</t>
  </si>
  <si>
    <t>部署费（元）</t>
  </si>
  <si>
    <t>AI视频风险识别 (不含硬件)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</si>
</sst>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0"/>
      <color theme="1"/>
      <name val="等线"/>
      <charset val="134"/>
      <scheme val="minor"/>
    </font>
    <font>
      <b/>
      <sz val="15"/>
      <color rgb="FFFFFFFF"/>
      <name val="宋体-简"/>
      <charset val="134"/>
    </font>
    <font>
      <b/>
      <sz val="15"/>
      <color rgb="FFFFFFFF"/>
      <name val="Arial"/>
      <charset val="134"/>
    </font>
    <font>
      <b/>
      <sz val="9"/>
      <color rgb="FF1F4E79"/>
      <name val="Arial"/>
      <charset val="134"/>
    </font>
    <font>
      <sz val="9"/>
      <color rgb="FF1F4E79"/>
      <name val="宋体-简"/>
      <charset val="134"/>
    </font>
    <font>
      <sz val="9"/>
      <color rgb="FF1F4E79"/>
      <name val="Arial"/>
      <charset val="134"/>
    </font>
    <font>
      <sz val="10"/>
      <color rgb="FF000000"/>
      <name val="Arial"/>
      <charset val="134"/>
    </font>
    <font>
      <b/>
      <sz val="9"/>
      <color rgb="FFFFFFFF"/>
      <name val="Arial"/>
      <charset val="134"/>
    </font>
    <font>
      <b/>
      <sz val="9"/>
      <color rgb="FFFFFFFF"/>
      <name val="宋体-简"/>
      <charset val="134"/>
    </font>
    <font>
      <b/>
      <sz val="10"/>
      <color rgb="FFFFFFFF"/>
      <name val="Arial"/>
      <charset val="134"/>
    </font>
    <font>
      <sz val="9"/>
      <color theme="1"/>
      <name val="Arial"/>
      <charset val="134"/>
    </font>
    <font>
      <sz val="9"/>
      <color theme="1"/>
      <name val="宋体-简"/>
      <charset val="134"/>
    </font>
    <font>
      <sz val="9"/>
      <color rgb="FF888888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rgb="FF000000"/>
      <name val="Arial"/>
      <charset val="134"/>
    </font>
    <font>
      <sz val="10"/>
      <color rgb="FF000000"/>
      <name val="宋体"/>
      <charset val="134"/>
    </font>
    <font>
      <b/>
      <sz val="10"/>
      <color rgb="FFC00000"/>
      <name val="Arial"/>
      <charset val="134"/>
    </font>
    <font>
      <b/>
      <sz val="11"/>
      <color rgb="FFC00000"/>
      <name val="Arial"/>
      <charset val="134"/>
    </font>
    <font>
      <sz val="9"/>
      <color rgb="FFBF8F00"/>
      <name val="Arial"/>
      <charset val="134"/>
    </font>
    <font>
      <sz val="9"/>
      <color rgb="FF1D4E89"/>
      <name val="Arial"/>
      <charset val="134"/>
    </font>
    <font>
      <sz val="9"/>
      <color rgb="FF888888"/>
      <name val="Arial"/>
      <charset val="134"/>
    </font>
    <font>
      <sz val="9"/>
      <color rgb="FF888888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17A65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rgb="FF1ABC9C"/>
      </left>
      <right style="thin">
        <color rgb="FF1ABC9C"/>
      </right>
      <top style="thin">
        <color rgb="FF1ABC9C"/>
      </top>
      <bottom style="thin">
        <color rgb="FF1ABC9C"/>
      </bottom>
      <diagonal/>
    </border>
    <border>
      <left style="thin">
        <color rgb="FF117A65"/>
      </left>
      <right style="thin">
        <color rgb="FF117A65"/>
      </right>
      <top style="thin">
        <color rgb="FF117A65"/>
      </top>
      <bottom style="thin">
        <color rgb="FF117A65"/>
      </bottom>
      <diagonal/>
    </border>
    <border>
      <left style="thin">
        <color rgb="FFD4AA00"/>
      </left>
      <right style="thin">
        <color rgb="FFD4AA00"/>
      </right>
      <top style="thin">
        <color rgb="FFD4AA00"/>
      </top>
      <bottom style="thin">
        <color rgb="FFD4AA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14" borderId="1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5" borderId="17" applyNumberFormat="0" applyAlignment="0" applyProtection="0">
      <alignment vertical="center"/>
    </xf>
    <xf numFmtId="0" fontId="32" fillId="8" borderId="18" applyNumberFormat="0" applyAlignment="0" applyProtection="0">
      <alignment vertical="center"/>
    </xf>
    <xf numFmtId="0" fontId="33" fillId="8" borderId="17" applyNumberFormat="0" applyAlignment="0" applyProtection="0">
      <alignment vertical="center"/>
    </xf>
    <xf numFmtId="0" fontId="34" fillId="16" borderId="19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</cellStyleXfs>
  <cellXfs count="5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3" fontId="10" fillId="0" borderId="4" xfId="0" applyNumberFormat="1" applyFont="1" applyBorder="1" applyAlignment="1">
      <alignment horizontal="right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right" vertical="center"/>
    </xf>
    <xf numFmtId="0" fontId="7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3" fontId="15" fillId="0" borderId="6" xfId="0" applyNumberFormat="1" applyFont="1" applyBorder="1" applyAlignment="1">
      <alignment horizontal="right" vertical="center"/>
    </xf>
    <xf numFmtId="3" fontId="14" fillId="0" borderId="7" xfId="0" applyNumberFormat="1" applyFont="1" applyBorder="1" applyAlignment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9" fontId="14" fillId="0" borderId="4" xfId="0" applyNumberFormat="1" applyFont="1" applyBorder="1" applyAlignment="1">
      <alignment horizontal="center" vertical="center"/>
    </xf>
    <xf numFmtId="4" fontId="14" fillId="0" borderId="4" xfId="0" applyNumberFormat="1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0" fontId="14" fillId="8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3" fontId="15" fillId="0" borderId="9" xfId="0" applyNumberFormat="1" applyFont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/>
    </xf>
    <xf numFmtId="3" fontId="9" fillId="2" borderId="3" xfId="0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center" vertical="center"/>
    </xf>
    <xf numFmtId="4" fontId="16" fillId="9" borderId="10" xfId="0" applyNumberFormat="1" applyFont="1" applyFill="1" applyBorder="1" applyAlignment="1">
      <alignment horizontal="right" vertical="center"/>
    </xf>
    <xf numFmtId="0" fontId="17" fillId="9" borderId="10" xfId="0" applyFont="1" applyFill="1" applyBorder="1" applyAlignment="1">
      <alignment horizontal="left" vertical="center"/>
    </xf>
    <xf numFmtId="0" fontId="17" fillId="9" borderId="10" xfId="0" applyFont="1" applyFill="1" applyBorder="1" applyAlignment="1">
      <alignment horizontal="right" vertical="center"/>
    </xf>
    <xf numFmtId="0" fontId="9" fillId="10" borderId="11" xfId="0" applyFont="1" applyFill="1" applyBorder="1" applyAlignment="1">
      <alignment horizontal="left" vertical="center"/>
    </xf>
    <xf numFmtId="0" fontId="7" fillId="11" borderId="12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left" vertical="center"/>
    </xf>
    <xf numFmtId="0" fontId="14" fillId="12" borderId="4" xfId="0" applyFont="1" applyFill="1" applyBorder="1" applyAlignment="1">
      <alignment horizontal="right" vertical="center"/>
    </xf>
    <xf numFmtId="3" fontId="14" fillId="12" borderId="4" xfId="0" applyNumberFormat="1" applyFont="1" applyFill="1" applyBorder="1" applyAlignment="1">
      <alignment horizontal="right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right" vertical="center"/>
    </xf>
    <xf numFmtId="0" fontId="18" fillId="13" borderId="13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0" fontId="20" fillId="6" borderId="4" xfId="0" applyFont="1" applyFill="1" applyBorder="1" applyAlignment="1">
      <alignment horizontal="left" vertical="center"/>
    </xf>
    <xf numFmtId="0" fontId="20" fillId="6" borderId="4" xfId="0" applyFont="1" applyFill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1"/>
  <sheetViews>
    <sheetView showGridLines="0" workbookViewId="0">
      <selection activeCell="B7" sqref="B7"/>
    </sheetView>
  </sheetViews>
  <sheetFormatPr defaultColWidth="14" defaultRowHeight="15.2" outlineLevelCol="7"/>
  <cols>
    <col min="1" max="1" width="6" customWidth="1"/>
    <col min="2" max="2" width="26" customWidth="1"/>
    <col min="3" max="5" width="17" customWidth="1"/>
    <col min="6" max="6" width="13" customWidth="1"/>
    <col min="7" max="7" width="17" customWidth="1"/>
    <col min="8" max="8" width="19.2307692307692" customWidth="1"/>
    <col min="9" max="20" width="9" customWidth="1"/>
  </cols>
  <sheetData>
    <row r="1" ht="40" customHeight="1" spans="1:8">
      <c r="A1" s="2" t="s">
        <v>0</v>
      </c>
    </row>
    <row r="2" ht="22" customHeight="1" spans="1:8">
      <c r="A2" s="3" t="s">
        <v>1</v>
      </c>
      <c r="E2" s="4" t="s">
        <v>2</v>
      </c>
    </row>
    <row r="3" ht="22" customHeight="1" spans="1:8">
      <c r="A3" s="3" t="s">
        <v>3</v>
      </c>
      <c r="E3" s="4" t="s">
        <v>4</v>
      </c>
    </row>
    <row r="4" ht="24" customHeight="1" spans="1:8">
      <c r="A4" s="6" t="s">
        <v>5</v>
      </c>
    </row>
    <row r="5" ht="24" customHeight="1" spans="1:8">
      <c r="A5" s="7" t="s">
        <v>6</v>
      </c>
      <c r="B5" s="8" t="s">
        <v>7</v>
      </c>
      <c r="C5" s="8" t="s">
        <v>8</v>
      </c>
      <c r="D5" s="8"/>
      <c r="E5" s="8" t="s">
        <v>9</v>
      </c>
      <c r="F5" s="7" t="s">
        <v>10</v>
      </c>
      <c r="G5" s="7" t="s">
        <v>11</v>
      </c>
      <c r="H5" s="7"/>
    </row>
    <row r="6" ht="24" customHeight="1" spans="1:8">
      <c r="A6" s="10"/>
      <c r="B6" s="10"/>
      <c r="C6" s="10"/>
      <c r="D6" s="10"/>
      <c r="E6" s="10"/>
      <c r="F6" s="10"/>
      <c r="G6" s="10"/>
      <c r="H6" s="10"/>
    </row>
    <row r="7" ht="24" customHeight="1" spans="1:8">
      <c r="A7" s="11">
        <v>1</v>
      </c>
      <c r="B7" s="12" t="s">
        <v>12</v>
      </c>
      <c r="C7" s="13" t="s">
        <v>13</v>
      </c>
      <c r="D7" s="14"/>
      <c r="E7" s="14"/>
      <c r="F7" s="11">
        <v>1</v>
      </c>
      <c r="G7" s="11" t="s">
        <v>14</v>
      </c>
      <c r="H7" s="15"/>
    </row>
    <row r="8" ht="24" customHeight="1" spans="1:8">
      <c r="A8" s="16"/>
      <c r="B8" s="17"/>
      <c r="C8" s="18" t="s">
        <v>15</v>
      </c>
      <c r="D8" s="19"/>
      <c r="E8" s="19"/>
      <c r="F8" s="20">
        <v>30</v>
      </c>
      <c r="G8" s="20" t="s">
        <v>16</v>
      </c>
      <c r="H8" s="21"/>
    </row>
    <row r="9" ht="24" customHeight="1" spans="1:8">
      <c r="A9" s="52"/>
      <c r="B9" s="53"/>
      <c r="C9" s="13" t="s">
        <v>17</v>
      </c>
      <c r="D9" s="54"/>
      <c r="E9" s="54" t="s">
        <v>18</v>
      </c>
      <c r="F9" s="11" t="s">
        <v>19</v>
      </c>
      <c r="G9" s="11" t="s">
        <v>16</v>
      </c>
      <c r="H9" s="55"/>
    </row>
    <row r="10" ht="24" customHeight="1" spans="1:8">
      <c r="A10" s="20">
        <v>2</v>
      </c>
      <c r="B10" s="18" t="s">
        <v>20</v>
      </c>
      <c r="C10" s="18" t="s">
        <v>21</v>
      </c>
      <c r="D10" s="56"/>
      <c r="E10" s="57" t="s">
        <v>22</v>
      </c>
      <c r="F10" s="20">
        <v>1</v>
      </c>
      <c r="G10" s="20" t="s">
        <v>14</v>
      </c>
      <c r="H10" s="21"/>
    </row>
    <row r="11" ht="24" customHeight="1" spans="1:8">
      <c r="A11" s="52"/>
      <c r="B11" s="53"/>
      <c r="C11" s="13" t="s">
        <v>23</v>
      </c>
      <c r="D11" s="54"/>
      <c r="E11" s="58" t="s">
        <v>24</v>
      </c>
      <c r="F11" s="11" t="s">
        <v>25</v>
      </c>
      <c r="G11" s="11" t="s">
        <v>25</v>
      </c>
      <c r="H11" s="55"/>
    </row>
    <row r="12" ht="24" customHeight="1" spans="1:8">
      <c r="A12" s="22" t="s">
        <v>6</v>
      </c>
    </row>
    <row r="13" ht="17" customHeight="1" spans="1:8">
      <c r="B13" s="22" t="s">
        <v>26</v>
      </c>
    </row>
    <row r="14" ht="17" customHeight="1" spans="1:8">
      <c r="C14" s="22" t="s">
        <v>27</v>
      </c>
    </row>
    <row r="15" ht="17" customHeight="1" spans="1:8">
      <c r="D15" s="22" t="s">
        <v>28</v>
      </c>
    </row>
    <row r="16" ht="17" customHeight="1" spans="1:8">
      <c r="E16" s="22" t="s">
        <v>29</v>
      </c>
    </row>
    <row r="17" ht="17" customHeight="1" spans="1:8">
      <c r="F17" s="22" t="s">
        <v>30</v>
      </c>
    </row>
    <row r="18" ht="17" customHeight="1" spans="1:8">
      <c r="G18" s="22" t="s">
        <v>31</v>
      </c>
    </row>
    <row r="19" ht="17" customHeight="1" spans="1:8">
      <c r="H19" s="22" t="s">
        <v>32</v>
      </c>
    </row>
    <row r="20" ht="22" customHeight="1" spans="1:8">
      <c r="A20" s="24">
        <v>1</v>
      </c>
      <c r="B20" s="25" t="s">
        <v>33</v>
      </c>
      <c r="C20" s="26">
        <v>30000</v>
      </c>
      <c r="D20" s="27"/>
      <c r="E20" s="28">
        <f t="shared" ref="E20:E31" si="0">C20+D20</f>
        <v>30000</v>
      </c>
      <c r="F20" s="29">
        <v>0.06</v>
      </c>
      <c r="G20" s="30">
        <f t="shared" ref="G20:G31" si="1">C20*F20</f>
        <v>1800</v>
      </c>
      <c r="H20" s="31">
        <f t="shared" ref="H20:H31" si="2">G20+E20</f>
        <v>31800</v>
      </c>
    </row>
    <row r="21" ht="22" customHeight="1" spans="1:8">
      <c r="A21" s="32">
        <v>2</v>
      </c>
      <c r="B21" s="25" t="s">
        <v>34</v>
      </c>
      <c r="C21" s="26">
        <v>20000</v>
      </c>
      <c r="D21" s="27"/>
      <c r="E21" s="28">
        <f t="shared" si="0"/>
        <v>20000</v>
      </c>
      <c r="F21" s="29">
        <v>0.06</v>
      </c>
      <c r="G21" s="30">
        <f t="shared" si="1"/>
        <v>1200</v>
      </c>
      <c r="H21" s="31">
        <f t="shared" si="2"/>
        <v>21200</v>
      </c>
    </row>
    <row r="22" ht="22" customHeight="1" spans="1:8">
      <c r="A22" s="24">
        <v>3</v>
      </c>
      <c r="B22" s="25" t="s">
        <v>35</v>
      </c>
      <c r="C22" s="26">
        <v>15000</v>
      </c>
      <c r="D22" s="27"/>
      <c r="E22" s="28">
        <f t="shared" si="0"/>
        <v>15000</v>
      </c>
      <c r="F22" s="29">
        <v>0.06</v>
      </c>
      <c r="G22" s="30">
        <f t="shared" si="1"/>
        <v>900</v>
      </c>
      <c r="H22" s="31">
        <f t="shared" si="2"/>
        <v>15900</v>
      </c>
    </row>
    <row r="23" ht="22" customHeight="1" spans="1:8">
      <c r="A23" s="32">
        <v>4</v>
      </c>
      <c r="B23" s="25" t="s">
        <v>36</v>
      </c>
      <c r="C23" s="26">
        <v>40000</v>
      </c>
      <c r="D23" s="27"/>
      <c r="E23" s="28">
        <f t="shared" si="0"/>
        <v>40000</v>
      </c>
      <c r="F23" s="29">
        <v>0.06</v>
      </c>
      <c r="G23" s="30">
        <f t="shared" si="1"/>
        <v>2400</v>
      </c>
      <c r="H23" s="31">
        <f t="shared" si="2"/>
        <v>42400</v>
      </c>
    </row>
    <row r="24" ht="22" customHeight="1" spans="1:8">
      <c r="A24" s="24">
        <v>5</v>
      </c>
      <c r="B24" s="25" t="s">
        <v>37</v>
      </c>
      <c r="C24" s="26">
        <v>20000</v>
      </c>
      <c r="D24" s="27"/>
      <c r="E24" s="28">
        <f t="shared" si="0"/>
        <v>20000</v>
      </c>
      <c r="F24" s="29">
        <v>0.06</v>
      </c>
      <c r="G24" s="30">
        <f t="shared" si="1"/>
        <v>1200</v>
      </c>
      <c r="H24" s="31">
        <f t="shared" si="2"/>
        <v>21200</v>
      </c>
    </row>
    <row r="25" ht="22" customHeight="1" spans="1:8">
      <c r="A25" s="32">
        <v>6</v>
      </c>
      <c r="B25" s="25" t="s">
        <v>38</v>
      </c>
      <c r="C25" s="26">
        <v>30000</v>
      </c>
      <c r="D25" s="27"/>
      <c r="E25" s="28">
        <f t="shared" si="0"/>
        <v>30000</v>
      </c>
      <c r="F25" s="29">
        <v>0.06</v>
      </c>
      <c r="G25" s="30">
        <f t="shared" si="1"/>
        <v>1800</v>
      </c>
      <c r="H25" s="31">
        <f t="shared" si="2"/>
        <v>31800</v>
      </c>
    </row>
    <row r="26" ht="22" customHeight="1" spans="1:8">
      <c r="A26" s="24">
        <v>7</v>
      </c>
      <c r="B26" s="25" t="s">
        <v>39</v>
      </c>
      <c r="C26" s="26">
        <v>60000</v>
      </c>
      <c r="D26" s="27"/>
      <c r="E26" s="28">
        <f t="shared" si="0"/>
        <v>60000</v>
      </c>
      <c r="F26" s="29">
        <v>0.06</v>
      </c>
      <c r="G26" s="30">
        <f t="shared" si="1"/>
        <v>3600</v>
      </c>
      <c r="H26" s="31">
        <f t="shared" si="2"/>
        <v>63600</v>
      </c>
    </row>
    <row r="27" ht="22" customHeight="1" spans="1:8">
      <c r="A27" s="32">
        <v>8</v>
      </c>
      <c r="B27" s="25" t="s">
        <v>40</v>
      </c>
      <c r="C27" s="26">
        <v>20000</v>
      </c>
      <c r="D27" s="27"/>
      <c r="E27" s="28">
        <f t="shared" si="0"/>
        <v>20000</v>
      </c>
      <c r="F27" s="29">
        <v>0.06</v>
      </c>
      <c r="G27" s="30">
        <f t="shared" si="1"/>
        <v>1200</v>
      </c>
      <c r="H27" s="31">
        <f t="shared" si="2"/>
        <v>21200</v>
      </c>
    </row>
    <row r="28" ht="22" customHeight="1" spans="1:8">
      <c r="A28" s="24">
        <v>9</v>
      </c>
      <c r="B28" s="25" t="s">
        <v>41</v>
      </c>
      <c r="C28" s="26">
        <v>15000</v>
      </c>
      <c r="D28" s="27"/>
      <c r="E28" s="28">
        <f t="shared" si="0"/>
        <v>15000</v>
      </c>
      <c r="F28" s="29">
        <v>0.06</v>
      </c>
      <c r="G28" s="30">
        <f t="shared" si="1"/>
        <v>900</v>
      </c>
      <c r="H28" s="31">
        <f t="shared" si="2"/>
        <v>15900</v>
      </c>
    </row>
    <row r="29" ht="22" customHeight="1" spans="1:8">
      <c r="A29" s="32">
        <v>10</v>
      </c>
      <c r="B29" s="25" t="s">
        <v>42</v>
      </c>
      <c r="C29" s="26">
        <v>20000</v>
      </c>
      <c r="D29" s="27"/>
      <c r="E29" s="28">
        <f t="shared" si="0"/>
        <v>20000</v>
      </c>
      <c r="F29" s="29">
        <v>0.06</v>
      </c>
      <c r="G29" s="30">
        <f t="shared" si="1"/>
        <v>1200</v>
      </c>
      <c r="H29" s="31">
        <f t="shared" si="2"/>
        <v>21200</v>
      </c>
    </row>
    <row r="30" ht="22" customHeight="1" spans="1:8">
      <c r="A30" s="32">
        <v>11</v>
      </c>
      <c r="B30" s="25" t="s">
        <v>43</v>
      </c>
      <c r="C30" s="26">
        <v>10000</v>
      </c>
      <c r="D30" s="27"/>
      <c r="E30" s="28">
        <f t="shared" si="0"/>
        <v>10000</v>
      </c>
      <c r="F30" s="29">
        <v>0.06</v>
      </c>
      <c r="G30" s="30">
        <f t="shared" si="1"/>
        <v>600</v>
      </c>
      <c r="H30" s="31">
        <f t="shared" si="2"/>
        <v>10600</v>
      </c>
    </row>
    <row r="31" ht="22" customHeight="1" spans="1:8">
      <c r="A31" s="33">
        <v>12</v>
      </c>
      <c r="B31" s="34" t="s">
        <v>44</v>
      </c>
      <c r="C31" s="35">
        <v>5000</v>
      </c>
      <c r="D31" s="27"/>
      <c r="E31" s="28">
        <f t="shared" si="0"/>
        <v>5000</v>
      </c>
      <c r="F31" s="29">
        <v>0.06</v>
      </c>
      <c r="G31" s="30">
        <f t="shared" si="1"/>
        <v>300</v>
      </c>
      <c r="H31" s="31">
        <f t="shared" si="2"/>
        <v>5300</v>
      </c>
    </row>
    <row r="32" ht="24" customHeight="1" spans="1:8">
      <c r="A32" s="36" t="s">
        <v>45</v>
      </c>
      <c r="E32" s="37">
        <f>SUM(E20:E31)</f>
        <v>285000</v>
      </c>
      <c r="F32" s="38"/>
      <c r="H32" s="39">
        <f>SUM(H20:H31)</f>
        <v>302100</v>
      </c>
    </row>
    <row r="33" ht="26" customHeight="1" spans="1:8">
      <c r="A33" s="40"/>
      <c r="F33" s="41"/>
    </row>
    <row r="34" ht="7" customHeight="1" spans="1:8">
      <c r="A34" s="6" t="s">
        <v>5</v>
      </c>
    </row>
    <row r="35" ht="22" customHeight="1" spans="1:8">
      <c r="A35" s="42" t="s">
        <v>46</v>
      </c>
    </row>
    <row r="36" ht="19" customHeight="1" spans="1:8">
      <c r="A36" s="43" t="s">
        <v>6</v>
      </c>
    </row>
    <row r="37" ht="17" customHeight="1" spans="1:8">
      <c r="B37" s="43" t="s">
        <v>47</v>
      </c>
    </row>
    <row r="38" ht="17" customHeight="1" spans="1:8">
      <c r="C38" s="43" t="s">
        <v>48</v>
      </c>
    </row>
    <row r="39" ht="17" customHeight="1" spans="1:8">
      <c r="D39" s="43" t="s">
        <v>49</v>
      </c>
    </row>
    <row r="40" ht="17" customHeight="1" spans="1:8">
      <c r="E40" s="43" t="s">
        <v>10</v>
      </c>
    </row>
    <row r="41" ht="17" customHeight="1" spans="1:8">
      <c r="F41" s="43" t="s">
        <v>11</v>
      </c>
    </row>
    <row r="42" ht="17" customHeight="1" spans="1:8">
      <c r="G42" s="43" t="s">
        <v>50</v>
      </c>
    </row>
    <row r="43" ht="17" customHeight="1" spans="1:8">
      <c r="H43" s="43" t="s">
        <v>51</v>
      </c>
    </row>
    <row r="44" ht="19" customHeight="1" spans="1:8">
      <c r="A44" s="44">
        <v>1</v>
      </c>
      <c r="B44" s="45" t="s">
        <v>52</v>
      </c>
      <c r="C44" s="46" t="s">
        <v>53</v>
      </c>
      <c r="D44" s="44" t="s">
        <v>54</v>
      </c>
      <c r="E44" s="44">
        <v>1</v>
      </c>
      <c r="F44" s="44" t="s">
        <v>55</v>
      </c>
      <c r="G44" s="47">
        <v>1000</v>
      </c>
      <c r="H44" s="45" t="s">
        <v>56</v>
      </c>
    </row>
    <row r="45" ht="19" customHeight="1" spans="1:8">
      <c r="A45" s="24">
        <v>2</v>
      </c>
      <c r="B45" s="48" t="s">
        <v>57</v>
      </c>
      <c r="C45" s="49" t="s">
        <v>58</v>
      </c>
      <c r="D45" s="24" t="s">
        <v>54</v>
      </c>
      <c r="E45" s="24">
        <v>1</v>
      </c>
      <c r="F45" s="24" t="s">
        <v>55</v>
      </c>
      <c r="G45" s="28">
        <v>3000</v>
      </c>
      <c r="H45" s="48" t="s">
        <v>59</v>
      </c>
    </row>
    <row r="46" ht="19" customHeight="1" spans="1:8">
      <c r="A46" s="44">
        <v>3</v>
      </c>
      <c r="B46" s="45" t="s">
        <v>60</v>
      </c>
      <c r="C46" s="46" t="s">
        <v>61</v>
      </c>
      <c r="D46" s="44" t="s">
        <v>54</v>
      </c>
      <c r="E46" s="44">
        <v>1</v>
      </c>
      <c r="F46" s="44" t="s">
        <v>55</v>
      </c>
      <c r="G46" s="47">
        <v>10000</v>
      </c>
      <c r="H46" s="45" t="s">
        <v>62</v>
      </c>
    </row>
    <row r="47" ht="7" customHeight="1" spans="1:8">
      <c r="A47" s="6" t="s">
        <v>5</v>
      </c>
    </row>
    <row r="48" ht="22" customHeight="1" spans="1:8">
      <c r="A48" s="36" t="s">
        <v>63</v>
      </c>
    </row>
    <row r="49" ht="19" customHeight="1" spans="1:1">
      <c r="A49" s="50" t="s">
        <v>64</v>
      </c>
    </row>
    <row r="50" ht="19" customHeight="1" spans="1:1">
      <c r="A50" s="50" t="s">
        <v>65</v>
      </c>
    </row>
    <row r="51" ht="19" customHeight="1" spans="1:1">
      <c r="A51" s="50" t="s">
        <v>66</v>
      </c>
    </row>
    <row r="52" ht="7" customHeight="1" spans="1:1">
      <c r="A52" s="6" t="s">
        <v>5</v>
      </c>
    </row>
    <row r="53" ht="22" customHeight="1" spans="1:1">
      <c r="A53" s="51" t="s">
        <v>67</v>
      </c>
    </row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  <row r="204" ht="17" customHeight="1"/>
    <row r="205" ht="17" customHeight="1"/>
    <row r="206" ht="17" customHeight="1"/>
    <row r="207" ht="17" customHeight="1"/>
    <row r="208" ht="17" customHeight="1"/>
    <row r="209" ht="17" customHeight="1"/>
    <row r="210" ht="17" customHeight="1"/>
    <row r="211" ht="17" customHeight="1"/>
  </sheetData>
  <mergeCells count="19">
    <mergeCell ref="A1:H1"/>
    <mergeCell ref="A2:D2"/>
    <mergeCell ref="E2:H2"/>
    <mergeCell ref="A3:D3"/>
    <mergeCell ref="E3:H3"/>
    <mergeCell ref="A4:H4"/>
    <mergeCell ref="A32:D32"/>
    <mergeCell ref="F32:G32"/>
    <mergeCell ref="A33:E33"/>
    <mergeCell ref="F33:H33"/>
    <mergeCell ref="A34:H34"/>
    <mergeCell ref="A35:H35"/>
    <mergeCell ref="A47:H47"/>
    <mergeCell ref="A48:H48"/>
    <mergeCell ref="A49:H49"/>
    <mergeCell ref="A50:H50"/>
    <mergeCell ref="A51:H51"/>
    <mergeCell ref="A52:H52"/>
    <mergeCell ref="A53:H5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9"/>
  <sheetViews>
    <sheetView showGridLines="0" tabSelected="1" workbookViewId="0">
      <selection activeCell="J8" sqref="J8"/>
    </sheetView>
  </sheetViews>
  <sheetFormatPr defaultColWidth="14" defaultRowHeight="15.2" outlineLevelCol="7"/>
  <cols>
    <col min="1" max="1" width="6" customWidth="1"/>
    <col min="2" max="2" width="26" customWidth="1"/>
    <col min="3" max="5" width="17" customWidth="1"/>
    <col min="6" max="6" width="13" customWidth="1"/>
    <col min="7" max="7" width="17" customWidth="1"/>
    <col min="8" max="8" width="19.2307692307692" customWidth="1"/>
    <col min="9" max="20" width="9" customWidth="1"/>
  </cols>
  <sheetData>
    <row r="1" ht="40" customHeight="1" spans="1:8">
      <c r="A1" s="1" t="s">
        <v>68</v>
      </c>
      <c r="B1" s="2"/>
      <c r="C1" s="2"/>
      <c r="D1" s="2"/>
      <c r="E1" s="2"/>
      <c r="F1" s="2"/>
      <c r="G1" s="2"/>
      <c r="H1" s="2"/>
    </row>
    <row r="2" ht="22" customHeight="1" spans="1:8">
      <c r="A2" s="3" t="s">
        <v>1</v>
      </c>
      <c r="B2" s="3"/>
      <c r="C2" s="3"/>
      <c r="D2" s="3"/>
      <c r="E2" s="4" t="s">
        <v>2</v>
      </c>
      <c r="F2" s="4"/>
      <c r="G2" s="4"/>
      <c r="H2" s="4"/>
    </row>
    <row r="3" ht="22" customHeight="1" spans="1:8">
      <c r="A3" s="3" t="s">
        <v>3</v>
      </c>
      <c r="B3" s="3"/>
      <c r="C3" s="3"/>
      <c r="D3" s="3"/>
      <c r="E3" s="5" t="s">
        <v>69</v>
      </c>
      <c r="F3" s="5"/>
      <c r="G3" s="5"/>
      <c r="H3" s="5"/>
    </row>
    <row r="4" ht="22" customHeight="1" spans="1:8">
      <c r="A4" s="6" t="s">
        <v>5</v>
      </c>
      <c r="B4" s="6"/>
      <c r="C4" s="6"/>
      <c r="D4" s="6"/>
      <c r="E4" s="6"/>
      <c r="F4" s="6"/>
      <c r="G4" s="6"/>
      <c r="H4" s="6"/>
    </row>
    <row r="5" ht="24" customHeight="1" spans="1:8">
      <c r="A5" s="7" t="s">
        <v>6</v>
      </c>
      <c r="B5" s="8" t="s">
        <v>7</v>
      </c>
      <c r="C5" s="8" t="s">
        <v>8</v>
      </c>
      <c r="D5" s="8"/>
      <c r="E5" s="9" t="s">
        <v>9</v>
      </c>
      <c r="F5" s="7" t="s">
        <v>10</v>
      </c>
      <c r="G5" s="7" t="s">
        <v>11</v>
      </c>
      <c r="H5" s="7"/>
    </row>
    <row r="6" ht="24" customHeight="1" spans="1:8">
      <c r="A6" s="10"/>
      <c r="B6" s="10"/>
      <c r="C6" s="10"/>
      <c r="D6" s="10"/>
      <c r="E6" s="10"/>
      <c r="F6" s="10"/>
      <c r="G6" s="10"/>
      <c r="H6" s="10"/>
    </row>
    <row r="7" ht="24" customHeight="1" spans="1:8">
      <c r="A7" s="11">
        <v>1</v>
      </c>
      <c r="B7" s="12" t="s">
        <v>12</v>
      </c>
      <c r="C7" s="13" t="s">
        <v>70</v>
      </c>
      <c r="D7" s="14"/>
      <c r="E7" s="14"/>
      <c r="F7" s="11">
        <v>1</v>
      </c>
      <c r="G7" s="11" t="s">
        <v>55</v>
      </c>
      <c r="H7" s="15"/>
    </row>
    <row r="8" ht="24" customHeight="1" spans="1:8">
      <c r="A8" s="16"/>
      <c r="B8" s="17"/>
      <c r="C8" s="18" t="s">
        <v>71</v>
      </c>
      <c r="D8" s="19"/>
      <c r="E8" s="19"/>
      <c r="F8" s="20">
        <v>30</v>
      </c>
      <c r="G8" s="20" t="s">
        <v>72</v>
      </c>
      <c r="H8" s="21"/>
    </row>
    <row r="9" ht="24" customHeight="1" spans="1:8">
      <c r="A9" s="11">
        <v>2</v>
      </c>
      <c r="B9" s="13" t="s">
        <v>73</v>
      </c>
      <c r="C9" s="13" t="s">
        <v>74</v>
      </c>
      <c r="D9" s="14"/>
      <c r="E9" s="14"/>
      <c r="F9" s="11">
        <v>1</v>
      </c>
      <c r="G9" s="11" t="s">
        <v>75</v>
      </c>
      <c r="H9" s="15"/>
    </row>
    <row r="10" ht="24" customHeight="1" spans="1:8">
      <c r="A10" s="22" t="s">
        <v>6</v>
      </c>
    </row>
    <row r="11" ht="17" customHeight="1" spans="1:8">
      <c r="B11" s="22" t="s">
        <v>26</v>
      </c>
    </row>
    <row r="12" ht="17" customHeight="1" spans="1:8">
      <c r="C12" s="23" t="s">
        <v>76</v>
      </c>
    </row>
    <row r="13" ht="17" customHeight="1" spans="1:8">
      <c r="D13" s="23" t="s">
        <v>77</v>
      </c>
    </row>
    <row r="14" ht="17" customHeight="1" spans="1:8">
      <c r="E14" s="22" t="s">
        <v>29</v>
      </c>
    </row>
    <row r="15" ht="17" customHeight="1" spans="1:8">
      <c r="F15" s="22" t="s">
        <v>30</v>
      </c>
    </row>
    <row r="16" ht="17" customHeight="1" spans="1:8">
      <c r="G16" s="22" t="s">
        <v>31</v>
      </c>
    </row>
    <row r="17" ht="17" customHeight="1" spans="1:8">
      <c r="H17" s="22" t="s">
        <v>32</v>
      </c>
    </row>
    <row r="18" ht="22" customHeight="1" spans="1:8">
      <c r="A18" s="24">
        <v>1</v>
      </c>
      <c r="B18" s="25" t="s">
        <v>33</v>
      </c>
      <c r="C18" s="26">
        <v>132000</v>
      </c>
      <c r="D18" s="27">
        <f>C18*0.25</f>
        <v>33000</v>
      </c>
      <c r="E18" s="28">
        <f t="shared" ref="E18:E29" si="0">C18+D18</f>
        <v>165000</v>
      </c>
      <c r="F18" s="29">
        <v>0.06</v>
      </c>
      <c r="G18" s="30">
        <f t="shared" ref="G18:G29" si="1">C18*F18</f>
        <v>7920</v>
      </c>
      <c r="H18" s="31">
        <f t="shared" ref="H18:H29" si="2">G18+E18</f>
        <v>172920</v>
      </c>
    </row>
    <row r="19" ht="22" customHeight="1" spans="1:8">
      <c r="A19" s="32">
        <v>2</v>
      </c>
      <c r="B19" s="25" t="s">
        <v>34</v>
      </c>
      <c r="C19" s="26">
        <v>88000</v>
      </c>
      <c r="D19" s="27">
        <f t="shared" ref="D19:D29" si="3">C19*0.25</f>
        <v>22000</v>
      </c>
      <c r="E19" s="28">
        <f t="shared" si="0"/>
        <v>110000</v>
      </c>
      <c r="F19" s="29">
        <v>0.06</v>
      </c>
      <c r="G19" s="30">
        <f t="shared" si="1"/>
        <v>5280</v>
      </c>
      <c r="H19" s="31">
        <f t="shared" si="2"/>
        <v>115280</v>
      </c>
    </row>
    <row r="20" ht="22" customHeight="1" spans="1:8">
      <c r="A20" s="24">
        <v>3</v>
      </c>
      <c r="B20" s="25" t="s">
        <v>35</v>
      </c>
      <c r="C20" s="26">
        <v>66000</v>
      </c>
      <c r="D20" s="27">
        <f t="shared" si="3"/>
        <v>16500</v>
      </c>
      <c r="E20" s="28">
        <f t="shared" si="0"/>
        <v>82500</v>
      </c>
      <c r="F20" s="29">
        <v>0.06</v>
      </c>
      <c r="G20" s="30">
        <f t="shared" si="1"/>
        <v>3960</v>
      </c>
      <c r="H20" s="31">
        <f t="shared" si="2"/>
        <v>86460</v>
      </c>
    </row>
    <row r="21" ht="22" customHeight="1" spans="1:8">
      <c r="A21" s="32">
        <v>4</v>
      </c>
      <c r="B21" s="25" t="s">
        <v>36</v>
      </c>
      <c r="C21" s="26">
        <v>176000</v>
      </c>
      <c r="D21" s="27">
        <f t="shared" si="3"/>
        <v>44000</v>
      </c>
      <c r="E21" s="28">
        <f t="shared" si="0"/>
        <v>220000</v>
      </c>
      <c r="F21" s="29">
        <v>0.06</v>
      </c>
      <c r="G21" s="30">
        <f t="shared" si="1"/>
        <v>10560</v>
      </c>
      <c r="H21" s="31">
        <f t="shared" si="2"/>
        <v>230560</v>
      </c>
    </row>
    <row r="22" ht="22" customHeight="1" spans="1:8">
      <c r="A22" s="24">
        <v>5</v>
      </c>
      <c r="B22" s="25" t="s">
        <v>37</v>
      </c>
      <c r="C22" s="26">
        <v>88000</v>
      </c>
      <c r="D22" s="27">
        <f t="shared" si="3"/>
        <v>22000</v>
      </c>
      <c r="E22" s="28">
        <f t="shared" si="0"/>
        <v>110000</v>
      </c>
      <c r="F22" s="29">
        <v>0.06</v>
      </c>
      <c r="G22" s="30">
        <f t="shared" si="1"/>
        <v>5280</v>
      </c>
      <c r="H22" s="31">
        <f t="shared" si="2"/>
        <v>115280</v>
      </c>
    </row>
    <row r="23" ht="22" customHeight="1" spans="1:8">
      <c r="A23" s="32">
        <v>6</v>
      </c>
      <c r="B23" s="25" t="s">
        <v>38</v>
      </c>
      <c r="C23" s="26">
        <v>132000</v>
      </c>
      <c r="D23" s="27">
        <f t="shared" si="3"/>
        <v>33000</v>
      </c>
      <c r="E23" s="28">
        <f t="shared" si="0"/>
        <v>165000</v>
      </c>
      <c r="F23" s="29">
        <v>0.06</v>
      </c>
      <c r="G23" s="30">
        <f t="shared" si="1"/>
        <v>7920</v>
      </c>
      <c r="H23" s="31">
        <f t="shared" si="2"/>
        <v>172920</v>
      </c>
    </row>
    <row r="24" ht="22" customHeight="1" spans="1:8">
      <c r="A24" s="24">
        <v>7</v>
      </c>
      <c r="B24" s="25" t="s">
        <v>78</v>
      </c>
      <c r="C24" s="26">
        <v>132000</v>
      </c>
      <c r="D24" s="27">
        <f t="shared" si="3"/>
        <v>33000</v>
      </c>
      <c r="E24" s="28">
        <f t="shared" si="0"/>
        <v>165000</v>
      </c>
      <c r="F24" s="29">
        <v>0.06</v>
      </c>
      <c r="G24" s="30">
        <f t="shared" si="1"/>
        <v>7920</v>
      </c>
      <c r="H24" s="31">
        <f t="shared" si="2"/>
        <v>172920</v>
      </c>
    </row>
    <row r="25" ht="22" customHeight="1" spans="1:8">
      <c r="A25" s="32">
        <v>8</v>
      </c>
      <c r="B25" s="25" t="s">
        <v>40</v>
      </c>
      <c r="C25" s="26">
        <v>88000</v>
      </c>
      <c r="D25" s="27">
        <f t="shared" si="3"/>
        <v>22000</v>
      </c>
      <c r="E25" s="28">
        <f t="shared" si="0"/>
        <v>110000</v>
      </c>
      <c r="F25" s="29">
        <v>0.06</v>
      </c>
      <c r="G25" s="30">
        <f t="shared" si="1"/>
        <v>5280</v>
      </c>
      <c r="H25" s="31">
        <f t="shared" si="2"/>
        <v>115280</v>
      </c>
    </row>
    <row r="26" ht="22" customHeight="1" spans="1:8">
      <c r="A26" s="24">
        <v>9</v>
      </c>
      <c r="B26" s="25" t="s">
        <v>41</v>
      </c>
      <c r="C26" s="26">
        <v>66000</v>
      </c>
      <c r="D26" s="27">
        <f t="shared" si="3"/>
        <v>16500</v>
      </c>
      <c r="E26" s="28">
        <f t="shared" si="0"/>
        <v>82500</v>
      </c>
      <c r="F26" s="29">
        <v>0.06</v>
      </c>
      <c r="G26" s="30">
        <f t="shared" si="1"/>
        <v>3960</v>
      </c>
      <c r="H26" s="31">
        <f t="shared" si="2"/>
        <v>86460</v>
      </c>
    </row>
    <row r="27" ht="22" customHeight="1" spans="1:8">
      <c r="A27" s="32">
        <v>10</v>
      </c>
      <c r="B27" s="25" t="s">
        <v>42</v>
      </c>
      <c r="C27" s="26">
        <v>88000</v>
      </c>
      <c r="D27" s="27">
        <f t="shared" si="3"/>
        <v>22000</v>
      </c>
      <c r="E27" s="28">
        <f t="shared" si="0"/>
        <v>110000</v>
      </c>
      <c r="F27" s="29">
        <v>0.06</v>
      </c>
      <c r="G27" s="30">
        <f t="shared" si="1"/>
        <v>5280</v>
      </c>
      <c r="H27" s="31">
        <f t="shared" si="2"/>
        <v>115280</v>
      </c>
    </row>
    <row r="28" ht="22" customHeight="1" spans="1:8">
      <c r="A28" s="32">
        <v>11</v>
      </c>
      <c r="B28" s="25" t="s">
        <v>43</v>
      </c>
      <c r="C28" s="26">
        <v>44000</v>
      </c>
      <c r="D28" s="27">
        <f t="shared" si="3"/>
        <v>11000</v>
      </c>
      <c r="E28" s="28">
        <f t="shared" si="0"/>
        <v>55000</v>
      </c>
      <c r="F28" s="29">
        <v>0.06</v>
      </c>
      <c r="G28" s="30">
        <f t="shared" si="1"/>
        <v>2640</v>
      </c>
      <c r="H28" s="31">
        <f t="shared" si="2"/>
        <v>57640</v>
      </c>
    </row>
    <row r="29" ht="22" customHeight="1" spans="1:8">
      <c r="A29" s="33">
        <v>12</v>
      </c>
      <c r="B29" s="34" t="s">
        <v>44</v>
      </c>
      <c r="C29" s="35">
        <v>22000</v>
      </c>
      <c r="D29" s="27">
        <f t="shared" si="3"/>
        <v>5500</v>
      </c>
      <c r="E29" s="28">
        <f t="shared" si="0"/>
        <v>27500</v>
      </c>
      <c r="F29" s="29">
        <v>0.06</v>
      </c>
      <c r="G29" s="30">
        <f t="shared" si="1"/>
        <v>1320</v>
      </c>
      <c r="H29" s="31">
        <f t="shared" si="2"/>
        <v>28820</v>
      </c>
    </row>
    <row r="30" ht="24" customHeight="1" spans="1:8">
      <c r="A30" s="36" t="s">
        <v>45</v>
      </c>
      <c r="B30" s="36"/>
      <c r="C30" s="36"/>
      <c r="D30" s="36"/>
      <c r="E30" s="37">
        <f>SUM(E18:E29)</f>
        <v>1402500</v>
      </c>
      <c r="F30" s="38"/>
      <c r="G30" s="38"/>
      <c r="H30" s="39">
        <f>SUM(H18:H29)</f>
        <v>1469820</v>
      </c>
    </row>
    <row r="31" ht="26" customHeight="1" spans="1:8">
      <c r="A31" s="40"/>
      <c r="B31" s="40"/>
      <c r="C31" s="40"/>
      <c r="D31" s="40"/>
      <c r="E31" s="40"/>
      <c r="F31" s="41"/>
      <c r="G31" s="41"/>
      <c r="H31" s="41"/>
    </row>
    <row r="32" ht="7" customHeight="1" spans="1:8">
      <c r="A32" s="6" t="s">
        <v>5</v>
      </c>
      <c r="B32" s="6"/>
      <c r="C32" s="6"/>
      <c r="D32" s="6"/>
      <c r="E32" s="6"/>
      <c r="F32" s="6"/>
      <c r="G32" s="6"/>
      <c r="H32" s="6"/>
    </row>
    <row r="33" ht="22" customHeight="1" spans="1:8">
      <c r="A33" s="42" t="s">
        <v>46</v>
      </c>
      <c r="B33" s="42"/>
      <c r="C33" s="42"/>
      <c r="D33" s="42"/>
      <c r="E33" s="42"/>
      <c r="F33" s="42"/>
      <c r="G33" s="42"/>
      <c r="H33" s="42"/>
    </row>
    <row r="34" ht="19" customHeight="1" spans="1:8">
      <c r="A34" s="43" t="s">
        <v>6</v>
      </c>
    </row>
    <row r="35" ht="17" customHeight="1" spans="1:8">
      <c r="B35" s="43" t="s">
        <v>47</v>
      </c>
    </row>
    <row r="36" ht="17" customHeight="1" spans="1:8">
      <c r="C36" s="43" t="s">
        <v>48</v>
      </c>
    </row>
    <row r="37" ht="17" customHeight="1" spans="1:8">
      <c r="D37" s="43" t="s">
        <v>49</v>
      </c>
    </row>
    <row r="38" ht="17" customHeight="1" spans="1:8">
      <c r="E38" s="43" t="s">
        <v>10</v>
      </c>
    </row>
    <row r="39" ht="17" customHeight="1" spans="1:8">
      <c r="F39" s="43" t="s">
        <v>11</v>
      </c>
    </row>
    <row r="40" ht="17" customHeight="1" spans="1:8">
      <c r="G40" s="43" t="s">
        <v>50</v>
      </c>
    </row>
    <row r="41" ht="17" customHeight="1" spans="1:8">
      <c r="H41" s="43" t="s">
        <v>51</v>
      </c>
    </row>
    <row r="42" ht="19" customHeight="1" spans="1:8">
      <c r="A42" s="44">
        <v>1</v>
      </c>
      <c r="B42" s="45" t="s">
        <v>52</v>
      </c>
      <c r="C42" s="46" t="s">
        <v>53</v>
      </c>
      <c r="D42" s="44" t="s">
        <v>54</v>
      </c>
      <c r="E42" s="44">
        <v>1</v>
      </c>
      <c r="F42" s="44" t="s">
        <v>55</v>
      </c>
      <c r="G42" s="47">
        <v>1000</v>
      </c>
      <c r="H42" s="45" t="s">
        <v>56</v>
      </c>
    </row>
    <row r="43" ht="19" customHeight="1" spans="1:8">
      <c r="A43" s="24">
        <v>2</v>
      </c>
      <c r="B43" s="48" t="s">
        <v>57</v>
      </c>
      <c r="C43" s="49" t="s">
        <v>58</v>
      </c>
      <c r="D43" s="24" t="s">
        <v>54</v>
      </c>
      <c r="E43" s="24">
        <v>1</v>
      </c>
      <c r="F43" s="24" t="s">
        <v>55</v>
      </c>
      <c r="G43" s="28">
        <v>3000</v>
      </c>
      <c r="H43" s="48" t="s">
        <v>59</v>
      </c>
    </row>
    <row r="44" ht="19" customHeight="1" spans="1:8">
      <c r="A44" s="44">
        <v>3</v>
      </c>
      <c r="B44" s="45" t="s">
        <v>60</v>
      </c>
      <c r="C44" s="46" t="s">
        <v>61</v>
      </c>
      <c r="D44" s="44" t="s">
        <v>54</v>
      </c>
      <c r="E44" s="44">
        <v>1</v>
      </c>
      <c r="F44" s="44" t="s">
        <v>55</v>
      </c>
      <c r="G44" s="47">
        <v>10000</v>
      </c>
      <c r="H44" s="45" t="s">
        <v>62</v>
      </c>
    </row>
    <row r="45" ht="7" customHeight="1" spans="1:8">
      <c r="A45" s="6" t="s">
        <v>5</v>
      </c>
      <c r="B45" s="6"/>
      <c r="C45" s="6"/>
      <c r="D45" s="6"/>
      <c r="E45" s="6"/>
      <c r="F45" s="6"/>
      <c r="G45" s="6"/>
      <c r="H45" s="6"/>
    </row>
    <row r="46" ht="22" customHeight="1" spans="1:8">
      <c r="A46" s="36" t="s">
        <v>63</v>
      </c>
      <c r="B46" s="36"/>
      <c r="C46" s="36"/>
      <c r="D46" s="36"/>
      <c r="E46" s="36"/>
      <c r="F46" s="36"/>
      <c r="G46" s="36"/>
      <c r="H46" s="36"/>
    </row>
    <row r="47" ht="19" customHeight="1" spans="1:8">
      <c r="A47" s="50" t="s">
        <v>64</v>
      </c>
      <c r="B47" s="50"/>
      <c r="C47" s="50"/>
      <c r="D47" s="50"/>
      <c r="E47" s="50"/>
      <c r="F47" s="50"/>
      <c r="G47" s="50"/>
      <c r="H47" s="50"/>
    </row>
    <row r="48" ht="19" customHeight="1" spans="1:8">
      <c r="A48" s="50" t="s">
        <v>65</v>
      </c>
      <c r="B48" s="50"/>
      <c r="C48" s="50"/>
      <c r="D48" s="50"/>
      <c r="E48" s="50"/>
      <c r="F48" s="50"/>
      <c r="G48" s="50"/>
      <c r="H48" s="50"/>
    </row>
    <row r="49" ht="19" customHeight="1" spans="1:8">
      <c r="A49" s="50" t="s">
        <v>66</v>
      </c>
      <c r="B49" s="50"/>
      <c r="C49" s="50"/>
      <c r="D49" s="50"/>
      <c r="E49" s="50"/>
      <c r="F49" s="50"/>
      <c r="G49" s="50"/>
      <c r="H49" s="50"/>
    </row>
    <row r="50" ht="7" customHeight="1" spans="1:8">
      <c r="A50" s="6" t="s">
        <v>5</v>
      </c>
      <c r="B50" s="6"/>
      <c r="C50" s="6"/>
      <c r="D50" s="6"/>
      <c r="E50" s="6"/>
      <c r="F50" s="6"/>
      <c r="G50" s="6"/>
      <c r="H50" s="6"/>
    </row>
    <row r="51" ht="22" customHeight="1" spans="1:8">
      <c r="A51" s="51" t="s">
        <v>67</v>
      </c>
      <c r="B51" s="51"/>
      <c r="C51" s="51"/>
      <c r="D51" s="51"/>
      <c r="E51" s="51"/>
      <c r="F51" s="51"/>
      <c r="G51" s="51"/>
      <c r="H51" s="51"/>
    </row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  <row r="204" ht="17" customHeight="1"/>
    <row r="205" ht="17" customHeight="1"/>
    <row r="206" ht="17" customHeight="1"/>
    <row r="207" ht="17" customHeight="1"/>
    <row r="208" ht="17" customHeight="1"/>
    <row r="209" ht="17" customHeight="1"/>
  </sheetData>
  <mergeCells count="19">
    <mergeCell ref="A1:H1"/>
    <mergeCell ref="A2:D2"/>
    <mergeCell ref="E2:H2"/>
    <mergeCell ref="A3:D3"/>
    <mergeCell ref="E3:H3"/>
    <mergeCell ref="A4:H4"/>
    <mergeCell ref="A30:D30"/>
    <mergeCell ref="F30:G30"/>
    <mergeCell ref="A31:E31"/>
    <mergeCell ref="F31:H31"/>
    <mergeCell ref="A32:H32"/>
    <mergeCell ref="A33:H33"/>
    <mergeCell ref="A45:H45"/>
    <mergeCell ref="A46:H46"/>
    <mergeCell ref="A47:H47"/>
    <mergeCell ref="A48:H48"/>
    <mergeCell ref="A49:H49"/>
    <mergeCell ref="A50:H50"/>
    <mergeCell ref="A51:H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公有云方案总览</vt:lpstr>
      <vt:lpstr>私有部署方案总览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hehe</cp:lastModifiedBy>
  <dcterms:created xsi:type="dcterms:W3CDTF">2026-05-28T15:12:12Z</dcterms:created>
  <dcterms:modified xsi:type="dcterms:W3CDTF">2026-05-28T15:49:23Z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1F36479E5FE63F8277F3176AD8859CC0_42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